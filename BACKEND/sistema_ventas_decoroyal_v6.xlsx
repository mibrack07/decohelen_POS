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Presupues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E272E"/>
      <sz val="16"/>
    </font>
    <font>
      <name val="Arial"/>
      <i val="1"/>
      <sz val="9"/>
    </font>
    <font>
      <name val="Arial"/>
      <b val="1"/>
      <color rgb="00485460"/>
      <sz val="14"/>
    </font>
    <font>
      <name val="Arial"/>
      <b val="1"/>
      <color rgb="001E272E"/>
      <sz val="14"/>
    </font>
    <font>
      <name val="Arial"/>
      <b val="1"/>
      <color rgb="001E272E"/>
      <sz val="11"/>
    </font>
    <font>
      <name val="Arial"/>
      <b val="1"/>
      <color rgb="001E272E"/>
      <sz val="10"/>
    </font>
  </fonts>
  <fills count="5">
    <fill>
      <patternFill/>
    </fill>
    <fill>
      <patternFill patternType="gray125"/>
    </fill>
    <fill>
      <patternFill patternType="solid">
        <fgColor rgb="001E272E"/>
        <bgColor rgb="001E272E"/>
      </patternFill>
    </fill>
    <fill>
      <patternFill patternType="solid">
        <fgColor rgb="00F8F9FA"/>
        <bgColor rgb="00F8F9FA"/>
      </patternFill>
    </fill>
    <fill>
      <patternFill patternType="solid">
        <fgColor rgb="00EAF2F8"/>
        <bgColor rgb="00EAF2F8"/>
      </patternFill>
    </fill>
  </fills>
  <borders count="7">
    <border>
      <left/>
      <right/>
      <top/>
      <bottom/>
      <diagonal/>
    </border>
    <border>
      <left style="thin">
        <color rgb="00D2DAE2"/>
      </left>
      <right style="thin">
        <color rgb="00D2DAE2"/>
      </right>
      <top style="thin">
        <color rgb="00D2DAE2"/>
      </top>
      <bottom style="thin">
        <color rgb="00D2DAE2"/>
      </bottom>
    </border>
    <border>
      <left/>
      <right/>
      <top style="thin">
        <color rgb="00D2DAE2"/>
      </top>
      <bottom/>
      <diagonal/>
    </border>
    <border>
      <left/>
      <right style="thin">
        <color rgb="00D2DAE2"/>
      </right>
      <top style="thin">
        <color rgb="00D2DAE2"/>
      </top>
      <bottom/>
      <diagonal/>
    </border>
    <border>
      <left/>
      <right style="thin">
        <color rgb="00D2DAE2"/>
      </right>
      <top style="thin">
        <color rgb="00D2DAE2"/>
      </top>
      <bottom style="thin">
        <color rgb="00D2DAE2"/>
      </bottom>
      <diagonal/>
    </border>
    <border>
      <top style="thin">
        <color rgb="00D2DAE2"/>
      </top>
      <bottom style="double">
        <color rgb="001E272E"/>
      </bottom>
    </border>
    <border>
      <left/>
      <right/>
      <top style="thin">
        <color rgb="00D2DAE2"/>
      </top>
      <bottom style="thin">
        <color rgb="00D2DAE2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right" vertical="center"/>
    </xf>
    <xf numFmtId="0" fontId="2" fillId="4" borderId="1" pivotButton="0" quotePrefix="0" xfId="0"/>
    <xf numFmtId="0" fontId="0" fillId="0" borderId="4" pivotButton="0" quotePrefix="0" xfId="0"/>
    <xf numFmtId="165" fontId="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right" vertical="center"/>
    </xf>
    <xf numFmtId="0" fontId="3" fillId="4" borderId="1" pivotButton="0" quotePrefix="0" xfId="0"/>
    <xf numFmtId="0" fontId="0" fillId="0" borderId="6" pivotButton="0" quotePrefix="0" xfId="0"/>
    <xf numFmtId="0" fontId="2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2" customWidth="1" min="3" max="3"/>
    <col width="45" customWidth="1" min="4" max="4"/>
    <col width="16" customWidth="1" min="5" max="5"/>
    <col width="16" customWidth="1" min="6" max="6"/>
    <col hidden="1" width="13" customWidth="1" min="26" max="26"/>
  </cols>
  <sheetData>
    <row r="1" ht="40" customHeight="1">
      <c r="A1" s="1" t="inlineStr">
        <is>
          <t>Código</t>
        </is>
      </c>
      <c r="B1" s="1" t="inlineStr">
        <is>
          <t>Categoría</t>
        </is>
      </c>
      <c r="C1" s="1" t="inlineStr">
        <is>
          <t>Nombre del Producto</t>
        </is>
      </c>
      <c r="D1" s="1" t="inlineStr">
        <is>
          <t>Especificación Técnica / Presentación</t>
        </is>
      </c>
      <c r="E1" s="1" t="inlineStr">
        <is>
          <t>Rendimiento
(M2/Unid)</t>
        </is>
      </c>
      <c r="F1" s="1" t="inlineStr">
        <is>
          <t>Precio Unitario
(USD)</t>
        </is>
      </c>
      <c r="Z1" s="2" t="inlineStr">
        <is>
          <t>Ref_Metodos</t>
        </is>
      </c>
    </row>
    <row r="2" ht="22" customHeight="1">
      <c r="A2" s="3" t="inlineStr">
        <is>
          <t>GRA-010</t>
        </is>
      </c>
      <c r="B2" s="4" t="inlineStr">
        <is>
          <t>Grama Sintética</t>
        </is>
      </c>
      <c r="C2" s="4" t="inlineStr">
        <is>
          <t>Grama Artificial 10mm</t>
        </is>
      </c>
      <c r="D2" s="4" t="inlineStr">
        <is>
          <t>Fibra de polipropileno, tráfico ligero, ancho 2m</t>
        </is>
      </c>
      <c r="E2" s="3" t="inlineStr">
        <is>
          <t>1.00</t>
        </is>
      </c>
      <c r="F2" s="5" t="n">
        <v>7</v>
      </c>
      <c r="Z2" t="inlineStr">
        <is>
          <t>Efectivo (Divisas)</t>
        </is>
      </c>
    </row>
    <row r="3" ht="22" customHeight="1">
      <c r="A3" s="6" t="inlineStr">
        <is>
          <t>GRA-020</t>
        </is>
      </c>
      <c r="B3" s="7" t="inlineStr">
        <is>
          <t>Grama Sintética</t>
        </is>
      </c>
      <c r="C3" s="7" t="inlineStr">
        <is>
          <t>Grama Artificial 20mm</t>
        </is>
      </c>
      <c r="D3" s="7" t="inlineStr">
        <is>
          <t>Alta densidad, protección UV, ancho 2m</t>
        </is>
      </c>
      <c r="E3" s="6" t="inlineStr">
        <is>
          <t>1.00</t>
        </is>
      </c>
      <c r="F3" s="8" t="n">
        <v>9</v>
      </c>
      <c r="Z3" t="inlineStr">
        <is>
          <t>Transferencia / Pago Móvil</t>
        </is>
      </c>
    </row>
    <row r="4" ht="22" customHeight="1">
      <c r="A4" s="3" t="inlineStr">
        <is>
          <t>GRA-030</t>
        </is>
      </c>
      <c r="B4" s="4" t="inlineStr">
        <is>
          <t>Grama Sintética</t>
        </is>
      </c>
      <c r="C4" s="4" t="inlineStr">
        <is>
          <t>Grama Artificial 30mm</t>
        </is>
      </c>
      <c r="D4" s="4" t="inlineStr">
        <is>
          <t>Aspecto natural, tráfico medio/alto, ancho 2m</t>
        </is>
      </c>
      <c r="E4" s="3" t="inlineStr">
        <is>
          <t>1.00</t>
        </is>
      </c>
      <c r="F4" s="5" t="n">
        <v>11</v>
      </c>
      <c r="Z4" t="inlineStr">
        <is>
          <t>Zelle / Binance</t>
        </is>
      </c>
    </row>
    <row r="5" ht="22" customHeight="1">
      <c r="A5" s="6" t="inlineStr">
        <is>
          <t>GRA-040</t>
        </is>
      </c>
      <c r="B5" s="7" t="inlineStr">
        <is>
          <t>Grama Sintética</t>
        </is>
      </c>
      <c r="C5" s="7" t="inlineStr">
        <is>
          <t>Grama Artificial 40mm</t>
        </is>
      </c>
      <c r="D5" s="7" t="inlineStr">
        <is>
          <t>Premium ultra suave, tráfico alto, ancho 2m</t>
        </is>
      </c>
      <c r="E5" s="6" t="inlineStr">
        <is>
          <t>1.00</t>
        </is>
      </c>
      <c r="F5" s="8" t="n">
        <v>13</v>
      </c>
    </row>
    <row r="6" ht="22" customHeight="1">
      <c r="A6" s="3" t="inlineStr">
        <is>
          <t>VIN-ROL</t>
        </is>
      </c>
      <c r="B6" s="4" t="inlineStr">
        <is>
          <t>Revestimiento Piso</t>
        </is>
      </c>
      <c r="C6" s="4" t="inlineStr">
        <is>
          <t>Piso Vinil Royal</t>
        </is>
      </c>
      <c r="D6" s="4" t="inlineStr">
        <is>
          <t>Línea Cemento / Instalación con Pegamento</t>
        </is>
      </c>
      <c r="E6" s="3" t="inlineStr">
        <is>
          <t>1.00</t>
        </is>
      </c>
      <c r="F6" s="5" t="n">
        <v>10.5</v>
      </c>
    </row>
    <row r="7" ht="22" customHeight="1">
      <c r="A7" s="6" t="inlineStr">
        <is>
          <t>VIN-SPC</t>
        </is>
      </c>
      <c r="B7" s="7" t="inlineStr">
        <is>
          <t>Revestimiento Piso</t>
        </is>
      </c>
      <c r="C7" s="7" t="inlineStr">
        <is>
          <t>Piso Vinil SPC CLICK</t>
        </is>
      </c>
      <c r="D7" s="7" t="inlineStr">
        <is>
          <t>Sistema Click 4.2mm / Rígido e impermeable</t>
        </is>
      </c>
      <c r="E7" s="6" t="inlineStr">
        <is>
          <t>2.20</t>
        </is>
      </c>
      <c r="F7" s="8" t="n">
        <v>15</v>
      </c>
    </row>
    <row r="8" ht="22" customHeight="1">
      <c r="A8" s="3" t="inlineStr">
        <is>
          <t>VIN-3MM</t>
        </is>
      </c>
      <c r="B8" s="4" t="inlineStr">
        <is>
          <t>Revestimiento Piso</t>
        </is>
      </c>
      <c r="C8" s="4" t="inlineStr">
        <is>
          <t>Piso de Vinil 3mm</t>
        </is>
      </c>
      <c r="D8" s="4" t="inlineStr">
        <is>
          <t>Tráfico Comercial Elegante / Texturizado</t>
        </is>
      </c>
      <c r="E8" s="3" t="inlineStr">
        <is>
          <t>3.34</t>
        </is>
      </c>
      <c r="F8" s="5" t="n">
        <v>18</v>
      </c>
    </row>
    <row r="9" ht="22" customHeight="1">
      <c r="A9" s="6" t="inlineStr">
        <is>
          <t>PEG-A21</t>
        </is>
      </c>
      <c r="B9" s="7" t="inlineStr">
        <is>
          <t>Pegamento</t>
        </is>
      </c>
      <c r="C9" s="7" t="inlineStr">
        <is>
          <t>Pega Acrílica Premium</t>
        </is>
      </c>
      <c r="D9" s="7" t="inlineStr">
        <is>
          <t>Cuñete 21 Litros / Para pisos de vinil</t>
        </is>
      </c>
      <c r="E9" s="6" t="inlineStr">
        <is>
          <t>85.00</t>
        </is>
      </c>
      <c r="F9" s="8" t="n">
        <v>178</v>
      </c>
    </row>
    <row r="10" ht="22" customHeight="1">
      <c r="A10" s="3" t="inlineStr">
        <is>
          <t>PEG-A10</t>
        </is>
      </c>
      <c r="B10" s="4" t="inlineStr">
        <is>
          <t>Pegamento</t>
        </is>
      </c>
      <c r="C10" s="4" t="inlineStr">
        <is>
          <t>Pega Acrílica Estándar</t>
        </is>
      </c>
      <c r="D10" s="4" t="inlineStr">
        <is>
          <t>Cuñete 10 Litros / Para pisos de vinil</t>
        </is>
      </c>
      <c r="E10" s="3" t="inlineStr">
        <is>
          <t>40.00</t>
        </is>
      </c>
      <c r="F10" s="5" t="n">
        <v>95</v>
      </c>
    </row>
    <row r="11" ht="22" customHeight="1">
      <c r="A11" s="6" t="inlineStr">
        <is>
          <t>PEG-CUN</t>
        </is>
      </c>
      <c r="B11" s="7" t="inlineStr">
        <is>
          <t>Pegamento</t>
        </is>
      </c>
      <c r="C11" s="7" t="inlineStr">
        <is>
          <t>Cuñete de Pegamento</t>
        </is>
      </c>
      <c r="D11" s="7" t="inlineStr">
        <is>
          <t>15.14 L / Alto agarre inicial</t>
        </is>
      </c>
      <c r="E11" s="6" t="inlineStr">
        <is>
          <t>60.00</t>
        </is>
      </c>
      <c r="F11" s="8" t="n">
        <v>280</v>
      </c>
    </row>
    <row r="12" ht="22" customHeight="1">
      <c r="A12" s="3" t="inlineStr">
        <is>
          <t>FOL-50X</t>
        </is>
      </c>
      <c r="B12" s="4" t="inlineStr">
        <is>
          <t>Jardín Vertical</t>
        </is>
      </c>
      <c r="C12" s="4" t="inlineStr">
        <is>
          <t>Follaje Artificial 50x50</t>
        </is>
      </c>
      <c r="D12" s="4" t="inlineStr">
        <is>
          <t>Paneles ensamblables, interior/exterior</t>
        </is>
      </c>
      <c r="E12" s="3" t="inlineStr">
        <is>
          <t>0.25</t>
        </is>
      </c>
      <c r="F12" s="5" t="n">
        <v>9</v>
      </c>
    </row>
    <row r="13" ht="22" customHeight="1">
      <c r="A13" s="6" t="inlineStr">
        <is>
          <t>FOL-1M1</t>
        </is>
      </c>
      <c r="B13" s="7" t="inlineStr">
        <is>
          <t>Jardín Vertical</t>
        </is>
      </c>
      <c r="C13" s="7" t="inlineStr">
        <is>
          <t>Follaje Artificial 3D</t>
        </is>
      </c>
      <c r="D13" s="7" t="inlineStr">
        <is>
          <t>1m x 1m / Alta densidad realista</t>
        </is>
      </c>
      <c r="E13" s="6" t="inlineStr">
        <is>
          <t>1.00</t>
        </is>
      </c>
      <c r="F13" s="8" t="n">
        <v>15</v>
      </c>
    </row>
    <row r="14" ht="22" customHeight="1">
      <c r="A14" s="3" t="inlineStr">
        <is>
          <t>ENR-ART</t>
        </is>
      </c>
      <c r="B14" s="4" t="inlineStr">
        <is>
          <t>Jardín Vertical</t>
        </is>
      </c>
      <c r="C14" s="4" t="inlineStr">
        <is>
          <t>Enredadera Artificial</t>
        </is>
      </c>
      <c r="D14" s="4" t="inlineStr">
        <is>
          <t>Paquete 12 unidades de 2 metros c/u</t>
        </is>
      </c>
      <c r="E14" s="3" t="inlineStr">
        <is>
          <t>N/A</t>
        </is>
      </c>
      <c r="F14" s="5" t="n">
        <v>6</v>
      </c>
    </row>
    <row r="15" ht="22" customHeight="1">
      <c r="A15" s="6" t="inlineStr">
        <is>
          <t>WAL-PVC</t>
        </is>
      </c>
      <c r="B15" s="7" t="inlineStr">
        <is>
          <t>Revestimiento Pared</t>
        </is>
      </c>
      <c r="C15" s="7" t="inlineStr">
        <is>
          <t>Wall Panel PVC</t>
        </is>
      </c>
      <c r="D15" s="7" t="inlineStr">
        <is>
          <t>Ancho 15.5cm x Largo 2.90m</t>
        </is>
      </c>
      <c r="E15" s="6" t="inlineStr">
        <is>
          <t>0.45</t>
        </is>
      </c>
      <c r="F15" s="8" t="n">
        <v>10.5</v>
      </c>
    </row>
    <row r="16" ht="22" customHeight="1">
      <c r="A16" s="3" t="inlineStr">
        <is>
          <t>WAL-SLM</t>
        </is>
      </c>
      <c r="B16" s="4" t="inlineStr">
        <is>
          <t>Revestimiento Pared</t>
        </is>
      </c>
      <c r="C16" s="4" t="inlineStr">
        <is>
          <t>Wall Panel PVC SLIM</t>
        </is>
      </c>
      <c r="D16" s="4" t="inlineStr">
        <is>
          <t>Ancho 12cm x Largo 2.90m / Acanalado fino</t>
        </is>
      </c>
      <c r="E16" s="3" t="inlineStr">
        <is>
          <t>0.34</t>
        </is>
      </c>
      <c r="F16" s="5" t="n">
        <v>15.5</v>
      </c>
    </row>
    <row r="17" ht="22" customHeight="1">
      <c r="A17" s="6" t="inlineStr">
        <is>
          <t>SIL-TRA</t>
        </is>
      </c>
      <c r="B17" s="7" t="inlineStr">
        <is>
          <t>Sellador</t>
        </is>
      </c>
      <c r="C17" s="7" t="inlineStr">
        <is>
          <t>Silicone Transparente Cova</t>
        </is>
      </c>
      <c r="D17" s="7" t="inlineStr">
        <is>
          <t>Cartucho 300 cm3 / Antihongos</t>
        </is>
      </c>
      <c r="E17" s="6" t="inlineStr">
        <is>
          <t>N/A</t>
        </is>
      </c>
      <c r="F17" s="8" t="n">
        <v>6.5</v>
      </c>
    </row>
    <row r="18" ht="22" customHeight="1">
      <c r="A18" s="3" t="inlineStr">
        <is>
          <t>ACR-BLA</t>
        </is>
      </c>
      <c r="B18" s="4" t="inlineStr">
        <is>
          <t>Sellador</t>
        </is>
      </c>
      <c r="C18" s="4" t="inlineStr">
        <is>
          <t>Acrielastic Blanco (Simbil)</t>
        </is>
      </c>
      <c r="D18" s="4" t="inlineStr">
        <is>
          <t>Cartucho 290 cm3 / Pintable</t>
        </is>
      </c>
      <c r="E18" s="3" t="inlineStr">
        <is>
          <t>N/A</t>
        </is>
      </c>
      <c r="F18" s="5" t="n">
        <v>8.5</v>
      </c>
    </row>
    <row r="19" ht="22" customHeight="1">
      <c r="A19" s="6" t="inlineStr">
        <is>
          <t>PEG-CCG</t>
        </is>
      </c>
      <c r="B19" s="7" t="inlineStr">
        <is>
          <t>Pegamento</t>
        </is>
      </c>
      <c r="C19" s="7" t="inlineStr">
        <is>
          <t>Cemento de Contacto</t>
        </is>
      </c>
      <c r="D19" s="7" t="inlineStr">
        <is>
          <t>Envase 1 Galón / Uso general</t>
        </is>
      </c>
      <c r="E19" s="6" t="inlineStr">
        <is>
          <t>N/A</t>
        </is>
      </c>
      <c r="F19" s="8" t="n">
        <v>30</v>
      </c>
    </row>
    <row r="20" ht="22" customHeight="1">
      <c r="A20" s="3" t="inlineStr">
        <is>
          <t>PEG-CCQ</t>
        </is>
      </c>
      <c r="B20" s="4" t="inlineStr">
        <is>
          <t>Pegamento</t>
        </is>
      </c>
      <c r="C20" s="4" t="inlineStr">
        <is>
          <t>Cemento de Contacto</t>
        </is>
      </c>
      <c r="D20" s="4" t="inlineStr">
        <is>
          <t>Envase 1/4 Galón / Uso general</t>
        </is>
      </c>
      <c r="E20" s="3" t="inlineStr">
        <is>
          <t>N/A</t>
        </is>
      </c>
      <c r="F20" s="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3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40" customWidth="1" min="4" max="4"/>
    <col width="14" customWidth="1" min="5" max="5"/>
    <col width="14" customWidth="1" min="6" max="6"/>
    <col width="16" customWidth="1" min="7" max="7"/>
    <col width="18" customWidth="1" min="8" max="8"/>
  </cols>
  <sheetData>
    <row r="2">
      <c r="B2" s="9" t="inlineStr">
        <is>
          <t>SUMINISTROS DECO ROYAL C.A.</t>
        </is>
      </c>
      <c r="G2" s="10" t="inlineStr">
        <is>
          <t>PRESUPUESTO</t>
        </is>
      </c>
      <c r="H2" s="11" t="inlineStr">
        <is>
          <t>N° _________</t>
        </is>
      </c>
    </row>
    <row r="3">
      <c r="B3" s="12" t="inlineStr">
        <is>
          <t>RIF: J-50211718-0 | Sistema de Ventas Automatizado</t>
        </is>
      </c>
    </row>
    <row r="5">
      <c r="B5" s="13" t="inlineStr">
        <is>
          <t>Razón Social / Nombre:</t>
        </is>
      </c>
      <c r="C5" s="14" t="n"/>
      <c r="D5" s="15" t="n"/>
      <c r="F5" s="13" t="inlineStr">
        <is>
          <t>Teléfono:</t>
        </is>
      </c>
      <c r="G5" s="14" t="n"/>
      <c r="H5" s="15" t="n"/>
    </row>
    <row r="6">
      <c r="B6" s="13" t="inlineStr">
        <is>
          <t>RIF / C.I.:</t>
        </is>
      </c>
      <c r="C6" s="14" t="n"/>
      <c r="D6" s="15" t="n"/>
      <c r="F6" s="13" t="inlineStr">
        <is>
          <t>E-mail:</t>
        </is>
      </c>
      <c r="G6" s="14" t="n"/>
      <c r="H6" s="15" t="n"/>
    </row>
    <row r="7">
      <c r="B7" s="13" t="inlineStr">
        <is>
          <t>Fecha Emisión:</t>
        </is>
      </c>
      <c r="C7" s="16">
        <f>TODAY()</f>
        <v/>
      </c>
      <c r="F7" s="13" t="inlineStr">
        <is>
          <t>Dirección:</t>
        </is>
      </c>
      <c r="G7" s="14" t="n"/>
      <c r="H7" s="15" t="n"/>
    </row>
    <row r="10" ht="40" customHeight="1">
      <c r="A10" s="1" t="inlineStr">
        <is>
          <t>Código</t>
        </is>
      </c>
      <c r="B10" s="1" t="inlineStr">
        <is>
          <t>Categoría</t>
        </is>
      </c>
      <c r="C10" s="1" t="inlineStr">
        <is>
          <t>Nombre del Producto</t>
        </is>
      </c>
      <c r="D10" s="1" t="inlineStr">
        <is>
          <t>Detalle / Especificación</t>
        </is>
      </c>
      <c r="E10" s="1" t="inlineStr">
        <is>
          <t>Cajas/Unid.</t>
        </is>
      </c>
      <c r="F10" s="1" t="inlineStr">
        <is>
          <t>M2 Totales</t>
        </is>
      </c>
      <c r="G10" s="1" t="inlineStr">
        <is>
          <t>Precio Unit.</t>
        </is>
      </c>
      <c r="H10" s="1" t="inlineStr">
        <is>
          <t>Total Item</t>
        </is>
      </c>
    </row>
    <row r="11" ht="25" customHeight="1">
      <c r="A11" s="6" t="n"/>
      <c r="B11" s="7">
        <f>IF(ISBLANK(A11), "", _xlfn.XLOOKUP(A11, Inventario!$A$2:$A$100, Inventario!$B$2:$B$100, ""))</f>
        <v/>
      </c>
      <c r="C11" s="7">
        <f>IF(ISBLANK(A11), "", _xlfn.XLOOKUP(A11, Inventario!$A$2:$A$100, Inventario!$C$2:$C$100, ""))</f>
        <v/>
      </c>
      <c r="D11" s="7">
        <f>IF(ISBLANK(A11), "", _xlfn.XLOOKUP(A11, Inventario!$A$2:$A$100, Inventario!$D$2:$D$100, ""))</f>
        <v/>
      </c>
      <c r="E11" s="17" t="n"/>
      <c r="F11" s="17" t="n"/>
      <c r="G11" s="8">
        <f>IF(ISBLANK(A11), "", _xlfn.XLOOKUP(A11, Inventario!$A$2:$A$100, Inventario!$F$2:$F$100, ""))</f>
        <v/>
      </c>
      <c r="H11" s="8">
        <f>IF(ISBLANK(A11), "", IF(F11&gt;0, F11, E11) * G11)</f>
        <v/>
      </c>
    </row>
    <row r="12" ht="25" customHeight="1">
      <c r="A12" s="6" t="n"/>
      <c r="B12" s="7">
        <f>IF(ISBLANK(A12), "", _xlfn.XLOOKUP(A12, Inventario!$A$2:$A$100, Inventario!$B$2:$B$100, ""))</f>
        <v/>
      </c>
      <c r="C12" s="7">
        <f>IF(ISBLANK(A12), "", _xlfn.XLOOKUP(A12, Inventario!$A$2:$A$100, Inventario!$C$2:$C$100, ""))</f>
        <v/>
      </c>
      <c r="D12" s="7">
        <f>IF(ISBLANK(A12), "", _xlfn.XLOOKUP(A12, Inventario!$A$2:$A$100, Inventario!$D$2:$D$100, ""))</f>
        <v/>
      </c>
      <c r="E12" s="17" t="n"/>
      <c r="F12" s="17" t="n"/>
      <c r="G12" s="8">
        <f>IF(ISBLANK(A12), "", _xlfn.XLOOKUP(A12, Inventario!$A$2:$A$100, Inventario!$F$2:$F$100, ""))</f>
        <v/>
      </c>
      <c r="H12" s="8">
        <f>IF(ISBLANK(A12), "", IF(F12&gt;0, F12, E12) * G12)</f>
        <v/>
      </c>
    </row>
    <row r="13" ht="25" customHeight="1">
      <c r="A13" s="6" t="n"/>
      <c r="B13" s="7">
        <f>IF(ISBLANK(A13), "", _xlfn.XLOOKUP(A13, Inventario!$A$2:$A$100, Inventario!$B$2:$B$100, ""))</f>
        <v/>
      </c>
      <c r="C13" s="7">
        <f>IF(ISBLANK(A13), "", _xlfn.XLOOKUP(A13, Inventario!$A$2:$A$100, Inventario!$C$2:$C$100, ""))</f>
        <v/>
      </c>
      <c r="D13" s="7">
        <f>IF(ISBLANK(A13), "", _xlfn.XLOOKUP(A13, Inventario!$A$2:$A$100, Inventario!$D$2:$D$100, ""))</f>
        <v/>
      </c>
      <c r="E13" s="17" t="n"/>
      <c r="F13" s="17" t="n"/>
      <c r="G13" s="8">
        <f>IF(ISBLANK(A13), "", _xlfn.XLOOKUP(A13, Inventario!$A$2:$A$100, Inventario!$F$2:$F$100, ""))</f>
        <v/>
      </c>
      <c r="H13" s="8">
        <f>IF(ISBLANK(A13), "", IF(F13&gt;0, F13, E13) * G13)</f>
        <v/>
      </c>
    </row>
    <row r="14" ht="25" customHeight="1">
      <c r="A14" s="6" t="n"/>
      <c r="B14" s="7">
        <f>IF(ISBLANK(A14), "", _xlfn.XLOOKUP(A14, Inventario!$A$2:$A$100, Inventario!$B$2:$B$100, ""))</f>
        <v/>
      </c>
      <c r="C14" s="7">
        <f>IF(ISBLANK(A14), "", _xlfn.XLOOKUP(A14, Inventario!$A$2:$A$100, Inventario!$C$2:$C$100, ""))</f>
        <v/>
      </c>
      <c r="D14" s="7">
        <f>IF(ISBLANK(A14), "", _xlfn.XLOOKUP(A14, Inventario!$A$2:$A$100, Inventario!$D$2:$D$100, ""))</f>
        <v/>
      </c>
      <c r="E14" s="17" t="n"/>
      <c r="F14" s="17" t="n"/>
      <c r="G14" s="8">
        <f>IF(ISBLANK(A14), "", _xlfn.XLOOKUP(A14, Inventario!$A$2:$A$100, Inventario!$F$2:$F$100, ""))</f>
        <v/>
      </c>
      <c r="H14" s="8">
        <f>IF(ISBLANK(A14), "", IF(F14&gt;0, F14, E14) * G14)</f>
        <v/>
      </c>
    </row>
    <row r="15" ht="25" customHeight="1">
      <c r="A15" s="6" t="n"/>
      <c r="B15" s="7">
        <f>IF(ISBLANK(A15), "", _xlfn.XLOOKUP(A15, Inventario!$A$2:$A$100, Inventario!$B$2:$B$100, ""))</f>
        <v/>
      </c>
      <c r="C15" s="7">
        <f>IF(ISBLANK(A15), "", _xlfn.XLOOKUP(A15, Inventario!$A$2:$A$100, Inventario!$C$2:$C$100, ""))</f>
        <v/>
      </c>
      <c r="D15" s="7">
        <f>IF(ISBLANK(A15), "", _xlfn.XLOOKUP(A15, Inventario!$A$2:$A$100, Inventario!$D$2:$D$100, ""))</f>
        <v/>
      </c>
      <c r="E15" s="17" t="n"/>
      <c r="F15" s="17" t="n"/>
      <c r="G15" s="8">
        <f>IF(ISBLANK(A15), "", _xlfn.XLOOKUP(A15, Inventario!$A$2:$A$100, Inventario!$F$2:$F$100, ""))</f>
        <v/>
      </c>
      <c r="H15" s="8">
        <f>IF(ISBLANK(A15), "", IF(F15&gt;0, F15, E15) * G15)</f>
        <v/>
      </c>
    </row>
    <row r="16" ht="25" customHeight="1">
      <c r="A16" s="6" t="n"/>
      <c r="B16" s="7">
        <f>IF(ISBLANK(A16), "", _xlfn.XLOOKUP(A16, Inventario!$A$2:$A$100, Inventario!$B$2:$B$100, ""))</f>
        <v/>
      </c>
      <c r="C16" s="7">
        <f>IF(ISBLANK(A16), "", _xlfn.XLOOKUP(A16, Inventario!$A$2:$A$100, Inventario!$C$2:$C$100, ""))</f>
        <v/>
      </c>
      <c r="D16" s="7">
        <f>IF(ISBLANK(A16), "", _xlfn.XLOOKUP(A16, Inventario!$A$2:$A$100, Inventario!$D$2:$D$100, ""))</f>
        <v/>
      </c>
      <c r="E16" s="17" t="n"/>
      <c r="F16" s="17" t="n"/>
      <c r="G16" s="8">
        <f>IF(ISBLANK(A16), "", _xlfn.XLOOKUP(A16, Inventario!$A$2:$A$100, Inventario!$F$2:$F$100, ""))</f>
        <v/>
      </c>
      <c r="H16" s="8">
        <f>IF(ISBLANK(A16), "", IF(F16&gt;0, F16, E16) * G16)</f>
        <v/>
      </c>
    </row>
    <row r="17" ht="25" customHeight="1">
      <c r="A17" s="6" t="n"/>
      <c r="B17" s="7">
        <f>IF(ISBLANK(A17), "", _xlfn.XLOOKUP(A17, Inventario!$A$2:$A$100, Inventario!$B$2:$B$100, ""))</f>
        <v/>
      </c>
      <c r="C17" s="7">
        <f>IF(ISBLANK(A17), "", _xlfn.XLOOKUP(A17, Inventario!$A$2:$A$100, Inventario!$C$2:$C$100, ""))</f>
        <v/>
      </c>
      <c r="D17" s="7">
        <f>IF(ISBLANK(A17), "", _xlfn.XLOOKUP(A17, Inventario!$A$2:$A$100, Inventario!$D$2:$D$100, ""))</f>
        <v/>
      </c>
      <c r="E17" s="17" t="n"/>
      <c r="F17" s="17" t="n"/>
      <c r="G17" s="8">
        <f>IF(ISBLANK(A17), "", _xlfn.XLOOKUP(A17, Inventario!$A$2:$A$100, Inventario!$F$2:$F$100, ""))</f>
        <v/>
      </c>
      <c r="H17" s="8">
        <f>IF(ISBLANK(A17), "", IF(F17&gt;0, F17, E17) * G17)</f>
        <v/>
      </c>
    </row>
    <row r="18" ht="25" customHeight="1">
      <c r="A18" s="6" t="n"/>
      <c r="B18" s="7">
        <f>IF(ISBLANK(A18), "", _xlfn.XLOOKUP(A18, Inventario!$A$2:$A$100, Inventario!$B$2:$B$100, ""))</f>
        <v/>
      </c>
      <c r="C18" s="7">
        <f>IF(ISBLANK(A18), "", _xlfn.XLOOKUP(A18, Inventario!$A$2:$A$100, Inventario!$C$2:$C$100, ""))</f>
        <v/>
      </c>
      <c r="D18" s="7">
        <f>IF(ISBLANK(A18), "", _xlfn.XLOOKUP(A18, Inventario!$A$2:$A$100, Inventario!$D$2:$D$100, ""))</f>
        <v/>
      </c>
      <c r="E18" s="17" t="n"/>
      <c r="F18" s="17" t="n"/>
      <c r="G18" s="8">
        <f>IF(ISBLANK(A18), "", _xlfn.XLOOKUP(A18, Inventario!$A$2:$A$100, Inventario!$F$2:$F$100, ""))</f>
        <v/>
      </c>
      <c r="H18" s="8">
        <f>IF(ISBLANK(A18), "", IF(F18&gt;0, F18, E18) * G18)</f>
        <v/>
      </c>
    </row>
    <row r="19" ht="25" customHeight="1">
      <c r="A19" s="6" t="n"/>
      <c r="B19" s="7">
        <f>IF(ISBLANK(A19), "", _xlfn.XLOOKUP(A19, Inventario!$A$2:$A$100, Inventario!$B$2:$B$100, ""))</f>
        <v/>
      </c>
      <c r="C19" s="7">
        <f>IF(ISBLANK(A19), "", _xlfn.XLOOKUP(A19, Inventario!$A$2:$A$100, Inventario!$C$2:$C$100, ""))</f>
        <v/>
      </c>
      <c r="D19" s="7">
        <f>IF(ISBLANK(A19), "", _xlfn.XLOOKUP(A19, Inventario!$A$2:$A$100, Inventario!$D$2:$D$100, ""))</f>
        <v/>
      </c>
      <c r="E19" s="17" t="n"/>
      <c r="F19" s="17" t="n"/>
      <c r="G19" s="8">
        <f>IF(ISBLANK(A19), "", _xlfn.XLOOKUP(A19, Inventario!$A$2:$A$100, Inventario!$F$2:$F$100, ""))</f>
        <v/>
      </c>
      <c r="H19" s="8">
        <f>IF(ISBLANK(A19), "", IF(F19&gt;0, F19, E19) * G19)</f>
        <v/>
      </c>
    </row>
    <row r="20" ht="25" customHeight="1">
      <c r="A20" s="6" t="n"/>
      <c r="B20" s="7">
        <f>IF(ISBLANK(A20), "", _xlfn.XLOOKUP(A20, Inventario!$A$2:$A$100, Inventario!$B$2:$B$100, ""))</f>
        <v/>
      </c>
      <c r="C20" s="7">
        <f>IF(ISBLANK(A20), "", _xlfn.XLOOKUP(A20, Inventario!$A$2:$A$100, Inventario!$C$2:$C$100, ""))</f>
        <v/>
      </c>
      <c r="D20" s="7">
        <f>IF(ISBLANK(A20), "", _xlfn.XLOOKUP(A20, Inventario!$A$2:$A$100, Inventario!$D$2:$D$100, ""))</f>
        <v/>
      </c>
      <c r="E20" s="17" t="n"/>
      <c r="F20" s="17" t="n"/>
      <c r="G20" s="8">
        <f>IF(ISBLANK(A20), "", _xlfn.XLOOKUP(A20, Inventario!$A$2:$A$100, Inventario!$F$2:$F$100, ""))</f>
        <v/>
      </c>
      <c r="H20" s="8">
        <f>IF(ISBLANK(A20), "", IF(F20&gt;0, F20, E20) * G20)</f>
        <v/>
      </c>
    </row>
    <row r="21" ht="25" customHeight="1">
      <c r="A21" s="6" t="n"/>
      <c r="B21" s="7">
        <f>IF(ISBLANK(A21), "", _xlfn.XLOOKUP(A21, Inventario!$A$2:$A$100, Inventario!$B$2:$B$100, ""))</f>
        <v/>
      </c>
      <c r="C21" s="7">
        <f>IF(ISBLANK(A21), "", _xlfn.XLOOKUP(A21, Inventario!$A$2:$A$100, Inventario!$C$2:$C$100, ""))</f>
        <v/>
      </c>
      <c r="D21" s="7">
        <f>IF(ISBLANK(A21), "", _xlfn.XLOOKUP(A21, Inventario!$A$2:$A$100, Inventario!$D$2:$D$100, ""))</f>
        <v/>
      </c>
      <c r="E21" s="17" t="n"/>
      <c r="F21" s="17" t="n"/>
      <c r="G21" s="8">
        <f>IF(ISBLANK(A21), "", _xlfn.XLOOKUP(A21, Inventario!$A$2:$A$100, Inventario!$F$2:$F$100, ""))</f>
        <v/>
      </c>
      <c r="H21" s="8">
        <f>IF(ISBLANK(A21), "", IF(F21&gt;0, F21, E21) * G21)</f>
        <v/>
      </c>
    </row>
    <row r="22" ht="25" customHeight="1">
      <c r="A22" s="6" t="n"/>
      <c r="B22" s="7">
        <f>IF(ISBLANK(A22), "", _xlfn.XLOOKUP(A22, Inventario!$A$2:$A$100, Inventario!$B$2:$B$100, ""))</f>
        <v/>
      </c>
      <c r="C22" s="7">
        <f>IF(ISBLANK(A22), "", _xlfn.XLOOKUP(A22, Inventario!$A$2:$A$100, Inventario!$C$2:$C$100, ""))</f>
        <v/>
      </c>
      <c r="D22" s="7">
        <f>IF(ISBLANK(A22), "", _xlfn.XLOOKUP(A22, Inventario!$A$2:$A$100, Inventario!$D$2:$D$100, ""))</f>
        <v/>
      </c>
      <c r="E22" s="17" t="n"/>
      <c r="F22" s="17" t="n"/>
      <c r="G22" s="8">
        <f>IF(ISBLANK(A22), "", _xlfn.XLOOKUP(A22, Inventario!$A$2:$A$100, Inventario!$F$2:$F$100, ""))</f>
        <v/>
      </c>
      <c r="H22" s="8">
        <f>IF(ISBLANK(A22), "", IF(F22&gt;0, F22, E22) * G22)</f>
        <v/>
      </c>
    </row>
    <row r="23" ht="25" customHeight="1">
      <c r="A23" s="6" t="n"/>
      <c r="B23" s="7">
        <f>IF(ISBLANK(A23), "", _xlfn.XLOOKUP(A23, Inventario!$A$2:$A$100, Inventario!$B$2:$B$100, ""))</f>
        <v/>
      </c>
      <c r="C23" s="7">
        <f>IF(ISBLANK(A23), "", _xlfn.XLOOKUP(A23, Inventario!$A$2:$A$100, Inventario!$C$2:$C$100, ""))</f>
        <v/>
      </c>
      <c r="D23" s="7">
        <f>IF(ISBLANK(A23), "", _xlfn.XLOOKUP(A23, Inventario!$A$2:$A$100, Inventario!$D$2:$D$100, ""))</f>
        <v/>
      </c>
      <c r="E23" s="17" t="n"/>
      <c r="F23" s="17" t="n"/>
      <c r="G23" s="8">
        <f>IF(ISBLANK(A23), "", _xlfn.XLOOKUP(A23, Inventario!$A$2:$A$100, Inventario!$F$2:$F$100, ""))</f>
        <v/>
      </c>
      <c r="H23" s="8">
        <f>IF(ISBLANK(A23), "", IF(F23&gt;0, F23, E23) * G23)</f>
        <v/>
      </c>
    </row>
    <row r="24" ht="25" customHeight="1">
      <c r="A24" s="6" t="n"/>
      <c r="B24" s="7">
        <f>IF(ISBLANK(A24), "", _xlfn.XLOOKUP(A24, Inventario!$A$2:$A$100, Inventario!$B$2:$B$100, ""))</f>
        <v/>
      </c>
      <c r="C24" s="7">
        <f>IF(ISBLANK(A24), "", _xlfn.XLOOKUP(A24, Inventario!$A$2:$A$100, Inventario!$C$2:$C$100, ""))</f>
        <v/>
      </c>
      <c r="D24" s="7">
        <f>IF(ISBLANK(A24), "", _xlfn.XLOOKUP(A24, Inventario!$A$2:$A$100, Inventario!$D$2:$D$100, ""))</f>
        <v/>
      </c>
      <c r="E24" s="17" t="n"/>
      <c r="F24" s="17" t="n"/>
      <c r="G24" s="8">
        <f>IF(ISBLANK(A24), "", _xlfn.XLOOKUP(A24, Inventario!$A$2:$A$100, Inventario!$F$2:$F$100, ""))</f>
        <v/>
      </c>
      <c r="H24" s="8">
        <f>IF(ISBLANK(A24), "", IF(F24&gt;0, F24, E24) * G24)</f>
        <v/>
      </c>
    </row>
    <row r="25" ht="25" customHeight="1">
      <c r="A25" s="6" t="n"/>
      <c r="B25" s="7">
        <f>IF(ISBLANK(A25), "", _xlfn.XLOOKUP(A25, Inventario!$A$2:$A$100, Inventario!$B$2:$B$100, ""))</f>
        <v/>
      </c>
      <c r="C25" s="7">
        <f>IF(ISBLANK(A25), "", _xlfn.XLOOKUP(A25, Inventario!$A$2:$A$100, Inventario!$C$2:$C$100, ""))</f>
        <v/>
      </c>
      <c r="D25" s="7">
        <f>IF(ISBLANK(A25), "", _xlfn.XLOOKUP(A25, Inventario!$A$2:$A$100, Inventario!$D$2:$D$100, ""))</f>
        <v/>
      </c>
      <c r="E25" s="17" t="n"/>
      <c r="F25" s="17" t="n"/>
      <c r="G25" s="8">
        <f>IF(ISBLANK(A25), "", _xlfn.XLOOKUP(A25, Inventario!$A$2:$A$100, Inventario!$F$2:$F$100, ""))</f>
        <v/>
      </c>
      <c r="H25" s="8">
        <f>IF(ISBLANK(A25), "", IF(F25&gt;0, F25, E25) * G25)</f>
        <v/>
      </c>
    </row>
    <row r="26">
      <c r="G26" s="13" t="inlineStr">
        <is>
          <t>SUB-TOTAL</t>
        </is>
      </c>
      <c r="H26" s="18">
        <f>SUM(H11:H25)</f>
        <v/>
      </c>
    </row>
    <row r="27">
      <c r="G27" s="13" t="inlineStr">
        <is>
          <t>IVA (16%)</t>
        </is>
      </c>
      <c r="H27" s="18">
        <f>H26*0.16</f>
        <v/>
      </c>
    </row>
    <row r="28">
      <c r="G28" s="19" t="inlineStr">
        <is>
          <t>TOTAL GENERAL</t>
        </is>
      </c>
      <c r="H28" s="20">
        <f>H26+H27</f>
        <v/>
      </c>
    </row>
    <row r="30">
      <c r="A30" s="2" t="inlineStr">
        <is>
          <t>TÉRMINOS Y CONDICIONES:</t>
        </is>
      </c>
      <c r="E30" s="13" t="inlineStr">
        <is>
          <t>MÉTODO DE PAGO:</t>
        </is>
      </c>
      <c r="F30" s="21" t="inlineStr">
        <is>
          <t>Seleccione Método 🔽</t>
        </is>
      </c>
      <c r="G30" s="22" t="n"/>
      <c r="H30" s="15" t="n"/>
    </row>
    <row r="31">
      <c r="A31" s="23" t="inlineStr">
        <is>
          <t>1. Presupuesto válido por 15 días a partir de la fecha de emisión.</t>
        </is>
      </c>
      <c r="E31" s="24">
        <f>IF($F$30="Efectivo (Divisas)", "[ ✔ ] Efectivo (Divisas)", "[   ] Efectivo (Divisas)")</f>
        <v/>
      </c>
    </row>
    <row r="32">
      <c r="A32" s="23" t="inlineStr">
        <is>
          <t>2. Los precios están sujetos a cambio sin previo aviso.</t>
        </is>
      </c>
      <c r="E32" s="24">
        <f>IF($F$30="Transferencia / Pago Móvil", "[ ✔ ] Transferencia / Pago Móvil", "[   ] Transferencia / Pago Móvil")</f>
        <v/>
      </c>
    </row>
    <row r="33">
      <c r="A33" s="23" t="inlineStr">
        <is>
          <t>3. Las devoluciones de material sobrante aplican recargos.</t>
        </is>
      </c>
      <c r="E33" s="24">
        <f>IF($F$30="Zelle / Binance", "[ ✔ ] Zelle / Binance", "[   ] Zelle / Binance")</f>
        <v/>
      </c>
    </row>
    <row r="37">
      <c r="B37" s="25" t="inlineStr">
        <is>
          <t>____________________________</t>
        </is>
      </c>
      <c r="F37" s="25" t="inlineStr">
        <is>
          <t>____________________________</t>
        </is>
      </c>
    </row>
    <row r="38">
      <c r="B38" s="26" t="inlineStr">
        <is>
          <t>Firma del Asesor</t>
        </is>
      </c>
      <c r="F38" s="26" t="inlineStr">
        <is>
          <t>Firma del Cliente (Aceptación)</t>
        </is>
      </c>
    </row>
  </sheetData>
  <mergeCells count="10">
    <mergeCell ref="C6:D6"/>
    <mergeCell ref="C7:D7"/>
    <mergeCell ref="E31:H31"/>
    <mergeCell ref="G7:H7"/>
    <mergeCell ref="C5:D5"/>
    <mergeCell ref="G5:H5"/>
    <mergeCell ref="G6:H6"/>
    <mergeCell ref="F30:H30"/>
    <mergeCell ref="E33:H33"/>
    <mergeCell ref="E32:H32"/>
  </mergeCells>
  <dataValidations count="2">
    <dataValidation sqref="A11 A12 A13 A14 A15 A16 A17 A18 A19 A20 A21 A22 A23 A24 A25" showDropDown="0" showInputMessage="0" showErrorMessage="0" allowBlank="1" type="list">
      <formula1>Inventario!$A$2:$A$20</formula1>
    </dataValidation>
    <dataValidation sqref="F30" showDropDown="0" showInputMessage="0" showErrorMessage="0" allowBlank="1" type="list">
      <formula1>Inventario!$Z$2:$Z$4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2026-06-18T20:09:15Z</dcterms:created>
  <dcterms:modified xmlns:dcterms="http://purl.org/dc/terms/" xmlns:xsi="http://www.w3.org/2001/XMLSchema-instance" xsi:type="dcterms:W3CDTF">2026-06-18T20:09:15Z</dcterms:modified>
</cp:coreProperties>
</file>